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cd0139eebd0c53/Desktop/Github Repo/PaupackLaxStatTracking/Test_Data/"/>
    </mc:Choice>
  </mc:AlternateContent>
  <xr:revisionPtr revIDLastSave="351" documentId="8_{6D691F99-DFB6-41F9-ABE0-713B804467D2}" xr6:coauthVersionLast="47" xr6:coauthVersionMax="47" xr10:uidLastSave="{295C1F71-4C65-431C-8576-6E62310EB1F0}"/>
  <bookViews>
    <workbookView xWindow="28680" yWindow="-7935" windowWidth="29040" windowHeight="15720" xr2:uid="{FADB34D3-2AD0-4900-91AC-1DDA22919594}"/>
  </bookViews>
  <sheets>
    <sheet name="FactTable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2" i="2"/>
</calcChain>
</file>

<file path=xl/sharedStrings.xml><?xml version="1.0" encoding="utf-8"?>
<sst xmlns="http://schemas.openxmlformats.org/spreadsheetml/2006/main" count="240" uniqueCount="46">
  <si>
    <t>Maplewood HS</t>
  </si>
  <si>
    <t>2025-04-19</t>
  </si>
  <si>
    <t>Red</t>
  </si>
  <si>
    <t>Yellow</t>
  </si>
  <si>
    <t>12m</t>
  </si>
  <si>
    <t>Cedar Falls HS</t>
  </si>
  <si>
    <t>2025-04-12</t>
  </si>
  <si>
    <t>Eastbrook HS</t>
  </si>
  <si>
    <t>2025-04-05</t>
  </si>
  <si>
    <t>Green</t>
  </si>
  <si>
    <t>Summit Academy</t>
  </si>
  <si>
    <t>2025-03-29</t>
  </si>
  <si>
    <t>Northview HS</t>
  </si>
  <si>
    <t>2025-03-22</t>
  </si>
  <si>
    <t>Lakewood HS</t>
  </si>
  <si>
    <t>2025-03-15</t>
  </si>
  <si>
    <t>Riverside HS</t>
  </si>
  <si>
    <t>2025-03-08</t>
  </si>
  <si>
    <t>MinsServed</t>
  </si>
  <si>
    <t>PenType</t>
  </si>
  <si>
    <t>CTOs</t>
  </si>
  <si>
    <t>WomanDownGoals</t>
  </si>
  <si>
    <t>WomanUpGoals</t>
  </si>
  <si>
    <t>Saves</t>
  </si>
  <si>
    <t>ShotsFaced</t>
  </si>
  <si>
    <t>DrawControls</t>
  </si>
  <si>
    <t>DrawAtts</t>
  </si>
  <si>
    <t>TOs</t>
  </si>
  <si>
    <t>GBs</t>
  </si>
  <si>
    <t>Shots</t>
  </si>
  <si>
    <t>Assists</t>
  </si>
  <si>
    <t>Goals</t>
  </si>
  <si>
    <t>OpponentName</t>
  </si>
  <si>
    <t>Date</t>
  </si>
  <si>
    <t>PlayerID</t>
  </si>
  <si>
    <t>F_PlayerName</t>
  </si>
  <si>
    <t>Olivia Hart</t>
  </si>
  <si>
    <t>Mia Russo</t>
  </si>
  <si>
    <t>Emma Torres</t>
  </si>
  <si>
    <t>Sophie Kim</t>
  </si>
  <si>
    <t>Ava Nguyen</t>
  </si>
  <si>
    <t>Chloe Banks</t>
  </si>
  <si>
    <t>Riley Patel</t>
  </si>
  <si>
    <t>Jenna Walsh</t>
  </si>
  <si>
    <t>Natalie Cruz</t>
  </si>
  <si>
    <t>Lauren Scott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</si>
</sst>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5cd0139eebd0c53/Desktop/Github%20Repo/PaupackLaxStatTracking/Test_Data/DimPlayers.xlsx" TargetMode="External"/><Relationship Id="rId1" Type="http://schemas.openxmlformats.org/officeDocument/2006/relationships/externalLinkPath" Target="DimPlay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mPlayers"/>
    </sheetNames>
    <sheetDataSet>
      <sheetData sheetId="0">
        <row r="2">
          <cell r="A2">
            <v>1</v>
          </cell>
          <cell r="B2" t="str">
            <v>Olivia Hart</v>
          </cell>
        </row>
        <row r="3">
          <cell r="A3">
            <v>2</v>
          </cell>
          <cell r="B3" t="str">
            <v>Mia Russo</v>
          </cell>
        </row>
        <row r="4">
          <cell r="A4">
            <v>3</v>
          </cell>
          <cell r="B4" t="str">
            <v>Emma Torres</v>
          </cell>
        </row>
        <row r="5">
          <cell r="A5">
            <v>4</v>
          </cell>
          <cell r="B5" t="str">
            <v>Sophie Kim</v>
          </cell>
        </row>
        <row r="6">
          <cell r="A6">
            <v>5</v>
          </cell>
          <cell r="B6" t="str">
            <v>Ava Nguyen</v>
          </cell>
        </row>
        <row r="7">
          <cell r="A7">
            <v>6</v>
          </cell>
          <cell r="B7" t="str">
            <v>Chloe Banks</v>
          </cell>
        </row>
        <row r="8">
          <cell r="A8">
            <v>7</v>
          </cell>
          <cell r="B8" t="str">
            <v>Riley Patel</v>
          </cell>
        </row>
        <row r="9">
          <cell r="A9">
            <v>8</v>
          </cell>
          <cell r="B9" t="str">
            <v>Jenna Walsh</v>
          </cell>
        </row>
        <row r="10">
          <cell r="A10">
            <v>9</v>
          </cell>
          <cell r="B10" t="str">
            <v>Natalie Cruz</v>
          </cell>
        </row>
        <row r="11">
          <cell r="A11">
            <v>10</v>
          </cell>
          <cell r="B11" t="str">
            <v>Lauren Scott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30FE-5529-48C3-883E-D019D34D4137}">
  <dimension ref="A1:R71"/>
  <sheetViews>
    <sheetView tabSelected="1" workbookViewId="0">
      <selection activeCell="E1" sqref="E1"/>
    </sheetView>
  </sheetViews>
  <sheetFormatPr defaultRowHeight="14.5" x14ac:dyDescent="0.35"/>
  <cols>
    <col min="1" max="1" width="12" customWidth="1"/>
    <col min="2" max="2" width="14.81640625" bestFit="1" customWidth="1"/>
    <col min="3" max="3" width="14" customWidth="1"/>
    <col min="4" max="4" width="18" customWidth="1"/>
    <col min="5" max="10" width="12" customWidth="1"/>
    <col min="11" max="11" width="16" customWidth="1"/>
    <col min="12" max="12" width="14" customWidth="1"/>
    <col min="13" max="13" width="12" customWidth="1"/>
    <col min="14" max="14" width="16" customWidth="1"/>
    <col min="15" max="15" width="18" customWidth="1"/>
    <col min="16" max="17" width="12" customWidth="1"/>
    <col min="18" max="18" width="14" customWidth="1"/>
  </cols>
  <sheetData>
    <row r="1" spans="1:18" ht="20" customHeight="1" x14ac:dyDescent="0.35">
      <c r="A1" s="3" t="s">
        <v>34</v>
      </c>
      <c r="B1" s="3" t="s">
        <v>35</v>
      </c>
      <c r="C1" s="3" t="s">
        <v>33</v>
      </c>
      <c r="D1" s="3" t="s">
        <v>32</v>
      </c>
      <c r="E1" s="3" t="s">
        <v>31</v>
      </c>
      <c r="F1" s="3" t="s">
        <v>30</v>
      </c>
      <c r="G1" s="3" t="s">
        <v>29</v>
      </c>
      <c r="H1" s="3" t="s">
        <v>28</v>
      </c>
      <c r="I1" s="3" t="s">
        <v>27</v>
      </c>
      <c r="J1" s="3" t="s">
        <v>26</v>
      </c>
      <c r="K1" s="3" t="s">
        <v>25</v>
      </c>
      <c r="L1" s="3" t="s">
        <v>24</v>
      </c>
      <c r="M1" s="3" t="s">
        <v>23</v>
      </c>
      <c r="N1" s="3" t="s">
        <v>22</v>
      </c>
      <c r="O1" s="3" t="s">
        <v>21</v>
      </c>
      <c r="P1" s="3" t="s">
        <v>20</v>
      </c>
      <c r="Q1" s="3" t="s">
        <v>19</v>
      </c>
      <c r="R1" s="3" t="s">
        <v>18</v>
      </c>
    </row>
    <row r="2" spans="1:18" x14ac:dyDescent="0.35">
      <c r="A2" s="2">
        <f>_xlfn.XLOOKUP(B2,[1]DimPlayers!$B$2:$B$11,[1]DimPlayers!$A$2:$A$11)</f>
        <v>1</v>
      </c>
      <c r="B2" s="2" t="s">
        <v>36</v>
      </c>
      <c r="C2" s="2" t="s">
        <v>17</v>
      </c>
      <c r="D2" s="2" t="s">
        <v>16</v>
      </c>
      <c r="E2" s="2">
        <v>0</v>
      </c>
      <c r="F2" s="2">
        <v>0</v>
      </c>
      <c r="G2" s="2">
        <v>2</v>
      </c>
      <c r="H2" s="2">
        <v>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/>
      <c r="R2" s="2">
        <v>0</v>
      </c>
    </row>
    <row r="3" spans="1:18" x14ac:dyDescent="0.35">
      <c r="A3" s="1">
        <f>_xlfn.XLOOKUP(B3,[1]DimPlayers!$B$2:$B$11,[1]DimPlayers!$A$2:$A$11)</f>
        <v>2</v>
      </c>
      <c r="B3" s="1" t="s">
        <v>37</v>
      </c>
      <c r="C3" s="1" t="s">
        <v>17</v>
      </c>
      <c r="D3" s="1" t="s">
        <v>16</v>
      </c>
      <c r="E3" s="1">
        <v>0</v>
      </c>
      <c r="F3" s="1">
        <v>2</v>
      </c>
      <c r="G3" s="1">
        <v>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/>
      <c r="R3" s="1">
        <v>0</v>
      </c>
    </row>
    <row r="4" spans="1:18" x14ac:dyDescent="0.35">
      <c r="A4" s="2">
        <f>_xlfn.XLOOKUP(B4,[1]DimPlayers!$B$2:$B$11,[1]DimPlayers!$A$2:$A$11)</f>
        <v>3</v>
      </c>
      <c r="B4" s="2" t="s">
        <v>38</v>
      </c>
      <c r="C4" s="2" t="s">
        <v>17</v>
      </c>
      <c r="D4" s="2" t="s">
        <v>16</v>
      </c>
      <c r="E4" s="2">
        <v>0</v>
      </c>
      <c r="F4" s="2">
        <v>2</v>
      </c>
      <c r="G4" s="2">
        <v>0</v>
      </c>
      <c r="H4" s="2">
        <v>2</v>
      </c>
      <c r="I4" s="2">
        <v>2</v>
      </c>
      <c r="J4" s="2">
        <v>4</v>
      </c>
      <c r="K4" s="2">
        <v>3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/>
      <c r="R4" s="2">
        <v>0</v>
      </c>
    </row>
    <row r="5" spans="1:18" x14ac:dyDescent="0.35">
      <c r="A5" s="1">
        <f>_xlfn.XLOOKUP(B5,[1]DimPlayers!$B$2:$B$11,[1]DimPlayers!$A$2:$A$11)</f>
        <v>4</v>
      </c>
      <c r="B5" s="1" t="s">
        <v>39</v>
      </c>
      <c r="C5" s="1" t="s">
        <v>17</v>
      </c>
      <c r="D5" s="1" t="s">
        <v>16</v>
      </c>
      <c r="E5" s="1">
        <v>2</v>
      </c>
      <c r="F5" s="1">
        <v>1</v>
      </c>
      <c r="G5" s="1">
        <v>2</v>
      </c>
      <c r="H5" s="1">
        <v>2</v>
      </c>
      <c r="I5" s="1">
        <v>2</v>
      </c>
      <c r="J5" s="1">
        <v>3</v>
      </c>
      <c r="K5" s="1">
        <v>2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/>
      <c r="R5" s="1">
        <v>0</v>
      </c>
    </row>
    <row r="6" spans="1:18" x14ac:dyDescent="0.35">
      <c r="A6" s="2">
        <f>_xlfn.XLOOKUP(B6,[1]DimPlayers!$B$2:$B$11,[1]DimPlayers!$A$2:$A$11)</f>
        <v>5</v>
      </c>
      <c r="B6" s="2" t="s">
        <v>40</v>
      </c>
      <c r="C6" s="2" t="s">
        <v>17</v>
      </c>
      <c r="D6" s="2" t="s">
        <v>16</v>
      </c>
      <c r="E6" s="2">
        <v>0</v>
      </c>
      <c r="F6" s="2">
        <v>0</v>
      </c>
      <c r="G6" s="2">
        <v>3</v>
      </c>
      <c r="H6" s="2">
        <v>1</v>
      </c>
      <c r="I6" s="2">
        <v>1</v>
      </c>
      <c r="J6" s="2">
        <v>2</v>
      </c>
      <c r="K6" s="2">
        <v>2</v>
      </c>
      <c r="L6" s="2">
        <v>0</v>
      </c>
      <c r="M6" s="2">
        <v>0</v>
      </c>
      <c r="N6" s="2">
        <v>0</v>
      </c>
      <c r="O6" s="2">
        <v>0</v>
      </c>
      <c r="P6" s="2">
        <v>1</v>
      </c>
      <c r="Q6" s="2"/>
      <c r="R6" s="2">
        <v>0</v>
      </c>
    </row>
    <row r="7" spans="1:18" x14ac:dyDescent="0.35">
      <c r="A7" s="1">
        <f>_xlfn.XLOOKUP(B7,[1]DimPlayers!$B$2:$B$11,[1]DimPlayers!$A$2:$A$11)</f>
        <v>6</v>
      </c>
      <c r="B7" s="1" t="s">
        <v>41</v>
      </c>
      <c r="C7" s="1" t="s">
        <v>17</v>
      </c>
      <c r="D7" s="1" t="s">
        <v>16</v>
      </c>
      <c r="E7" s="1">
        <v>1</v>
      </c>
      <c r="F7" s="1">
        <v>0</v>
      </c>
      <c r="G7" s="1">
        <v>2</v>
      </c>
      <c r="H7" s="1">
        <v>1</v>
      </c>
      <c r="I7" s="1">
        <v>2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1</v>
      </c>
      <c r="Q7" s="1"/>
      <c r="R7" s="1">
        <v>0</v>
      </c>
    </row>
    <row r="8" spans="1:18" x14ac:dyDescent="0.35">
      <c r="A8" s="2">
        <f>_xlfn.XLOOKUP(B8,[1]DimPlayers!$B$2:$B$11,[1]DimPlayers!$A$2:$A$11)</f>
        <v>7</v>
      </c>
      <c r="B8" s="2" t="s">
        <v>42</v>
      </c>
      <c r="C8" s="2" t="s">
        <v>17</v>
      </c>
      <c r="D8" s="2" t="s">
        <v>16</v>
      </c>
      <c r="E8" s="2">
        <v>0</v>
      </c>
      <c r="F8" s="2">
        <v>0</v>
      </c>
      <c r="G8" s="2">
        <v>1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3</v>
      </c>
      <c r="Q8" s="2" t="s">
        <v>9</v>
      </c>
      <c r="R8" s="2">
        <v>1</v>
      </c>
    </row>
    <row r="9" spans="1:18" x14ac:dyDescent="0.35">
      <c r="A9" s="1">
        <f>_xlfn.XLOOKUP(B9,[1]DimPlayers!$B$2:$B$11,[1]DimPlayers!$A$2:$A$11)</f>
        <v>8</v>
      </c>
      <c r="B9" s="1" t="s">
        <v>43</v>
      </c>
      <c r="C9" s="1" t="s">
        <v>17</v>
      </c>
      <c r="D9" s="1" t="s">
        <v>16</v>
      </c>
      <c r="E9" s="1">
        <v>1</v>
      </c>
      <c r="F9" s="1">
        <v>1</v>
      </c>
      <c r="G9" s="1">
        <v>1</v>
      </c>
      <c r="H9" s="1">
        <v>3</v>
      </c>
      <c r="I9" s="1">
        <v>2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2</v>
      </c>
      <c r="Q9" s="1"/>
      <c r="R9" s="1">
        <v>0</v>
      </c>
    </row>
    <row r="10" spans="1:18" x14ac:dyDescent="0.35">
      <c r="A10" s="2">
        <f>_xlfn.XLOOKUP(B10,[1]DimPlayers!$B$2:$B$11,[1]DimPlayers!$A$2:$A$11)</f>
        <v>9</v>
      </c>
      <c r="B10" s="2" t="s">
        <v>44</v>
      </c>
      <c r="C10" s="2" t="s">
        <v>17</v>
      </c>
      <c r="D10" s="2" t="s">
        <v>16</v>
      </c>
      <c r="E10" s="2">
        <v>0</v>
      </c>
      <c r="F10" s="2">
        <v>0</v>
      </c>
      <c r="G10" s="2">
        <v>0</v>
      </c>
      <c r="H10" s="2">
        <v>4</v>
      </c>
      <c r="I10" s="2">
        <v>3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1</v>
      </c>
      <c r="Q10" s="2"/>
      <c r="R10" s="2">
        <v>0</v>
      </c>
    </row>
    <row r="11" spans="1:18" x14ac:dyDescent="0.35">
      <c r="A11" s="1">
        <f>_xlfn.XLOOKUP(B11,[1]DimPlayers!$B$2:$B$11,[1]DimPlayers!$A$2:$A$11)</f>
        <v>10</v>
      </c>
      <c r="B11" s="1" t="s">
        <v>45</v>
      </c>
      <c r="C11" s="1" t="s">
        <v>17</v>
      </c>
      <c r="D11" s="1" t="s">
        <v>16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5</v>
      </c>
      <c r="M11" s="1">
        <v>0</v>
      </c>
      <c r="N11" s="1">
        <v>0</v>
      </c>
      <c r="O11" s="1">
        <v>0</v>
      </c>
      <c r="P11" s="1">
        <v>0</v>
      </c>
      <c r="Q11" s="1"/>
      <c r="R11" s="1">
        <v>0</v>
      </c>
    </row>
    <row r="12" spans="1:18" x14ac:dyDescent="0.35">
      <c r="A12" s="2">
        <f>_xlfn.XLOOKUP(B12,[1]DimPlayers!$B$2:$B$11,[1]DimPlayers!$A$2:$A$11)</f>
        <v>1</v>
      </c>
      <c r="B12" s="2" t="s">
        <v>36</v>
      </c>
      <c r="C12" s="2" t="s">
        <v>15</v>
      </c>
      <c r="D12" s="2" t="s">
        <v>14</v>
      </c>
      <c r="E12" s="2">
        <v>2</v>
      </c>
      <c r="F12" s="2">
        <v>0</v>
      </c>
      <c r="G12" s="2">
        <v>3</v>
      </c>
      <c r="H12" s="2">
        <v>2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1</v>
      </c>
      <c r="Q12" s="2"/>
      <c r="R12" s="2">
        <v>0</v>
      </c>
    </row>
    <row r="13" spans="1:18" x14ac:dyDescent="0.35">
      <c r="A13" s="1">
        <f>_xlfn.XLOOKUP(B13,[1]DimPlayers!$B$2:$B$11,[1]DimPlayers!$A$2:$A$11)</f>
        <v>2</v>
      </c>
      <c r="B13" s="1" t="s">
        <v>37</v>
      </c>
      <c r="C13" s="1" t="s">
        <v>15</v>
      </c>
      <c r="D13" s="1" t="s">
        <v>14</v>
      </c>
      <c r="E13" s="1">
        <v>1</v>
      </c>
      <c r="F13" s="1">
        <v>1</v>
      </c>
      <c r="G13" s="1">
        <v>2</v>
      </c>
      <c r="H13" s="1">
        <v>1</v>
      </c>
      <c r="I13" s="1">
        <v>2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</v>
      </c>
      <c r="Q13" s="1"/>
      <c r="R13" s="1">
        <v>0</v>
      </c>
    </row>
    <row r="14" spans="1:18" x14ac:dyDescent="0.35">
      <c r="A14" s="2">
        <f>_xlfn.XLOOKUP(B14,[1]DimPlayers!$B$2:$B$11,[1]DimPlayers!$A$2:$A$11)</f>
        <v>3</v>
      </c>
      <c r="B14" s="2" t="s">
        <v>38</v>
      </c>
      <c r="C14" s="2" t="s">
        <v>15</v>
      </c>
      <c r="D14" s="2" t="s">
        <v>14</v>
      </c>
      <c r="E14" s="2">
        <v>2</v>
      </c>
      <c r="F14" s="2">
        <v>1</v>
      </c>
      <c r="G14" s="2">
        <v>4</v>
      </c>
      <c r="H14" s="2">
        <v>2</v>
      </c>
      <c r="I14" s="2">
        <v>0</v>
      </c>
      <c r="J14" s="2">
        <v>4</v>
      </c>
      <c r="K14" s="2">
        <v>3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/>
      <c r="R14" s="2">
        <v>0</v>
      </c>
    </row>
    <row r="15" spans="1:18" x14ac:dyDescent="0.35">
      <c r="A15" s="1">
        <f>_xlfn.XLOOKUP(B15,[1]DimPlayers!$B$2:$B$11,[1]DimPlayers!$A$2:$A$11)</f>
        <v>4</v>
      </c>
      <c r="B15" s="1" t="s">
        <v>39</v>
      </c>
      <c r="C15" s="1" t="s">
        <v>15</v>
      </c>
      <c r="D15" s="1" t="s">
        <v>14</v>
      </c>
      <c r="E15" s="1">
        <v>0</v>
      </c>
      <c r="F15" s="1">
        <v>2</v>
      </c>
      <c r="G15" s="1">
        <v>1</v>
      </c>
      <c r="H15" s="1">
        <v>4</v>
      </c>
      <c r="I15" s="1">
        <v>2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</v>
      </c>
      <c r="Q15" s="1"/>
      <c r="R15" s="1">
        <v>0</v>
      </c>
    </row>
    <row r="16" spans="1:18" x14ac:dyDescent="0.35">
      <c r="A16" s="2">
        <f>_xlfn.XLOOKUP(B16,[1]DimPlayers!$B$2:$B$11,[1]DimPlayers!$A$2:$A$11)</f>
        <v>5</v>
      </c>
      <c r="B16" s="2" t="s">
        <v>40</v>
      </c>
      <c r="C16" s="2" t="s">
        <v>15</v>
      </c>
      <c r="D16" s="2" t="s">
        <v>14</v>
      </c>
      <c r="E16" s="2">
        <v>2</v>
      </c>
      <c r="F16" s="2">
        <v>1</v>
      </c>
      <c r="G16" s="2">
        <v>2</v>
      </c>
      <c r="H16" s="2">
        <v>1</v>
      </c>
      <c r="I16" s="2">
        <v>2</v>
      </c>
      <c r="J16" s="2">
        <v>4</v>
      </c>
      <c r="K16" s="2">
        <v>2</v>
      </c>
      <c r="L16" s="2">
        <v>0</v>
      </c>
      <c r="M16" s="2">
        <v>0</v>
      </c>
      <c r="N16" s="2">
        <v>1</v>
      </c>
      <c r="O16" s="2">
        <v>0</v>
      </c>
      <c r="P16" s="2">
        <v>1</v>
      </c>
      <c r="Q16" s="2"/>
      <c r="R16" s="2">
        <v>0</v>
      </c>
    </row>
    <row r="17" spans="1:18" x14ac:dyDescent="0.35">
      <c r="A17" s="1">
        <f>_xlfn.XLOOKUP(B17,[1]DimPlayers!$B$2:$B$11,[1]DimPlayers!$A$2:$A$11)</f>
        <v>6</v>
      </c>
      <c r="B17" s="1" t="s">
        <v>41</v>
      </c>
      <c r="C17" s="1" t="s">
        <v>15</v>
      </c>
      <c r="D17" s="1" t="s">
        <v>14</v>
      </c>
      <c r="E17" s="1">
        <v>1</v>
      </c>
      <c r="F17" s="1">
        <v>1</v>
      </c>
      <c r="G17" s="1">
        <v>1</v>
      </c>
      <c r="H17" s="1">
        <v>4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1</v>
      </c>
      <c r="Q17" s="1"/>
      <c r="R17" s="1">
        <v>0</v>
      </c>
    </row>
    <row r="18" spans="1:18" x14ac:dyDescent="0.35">
      <c r="A18" s="2">
        <f>_xlfn.XLOOKUP(B18,[1]DimPlayers!$B$2:$B$11,[1]DimPlayers!$A$2:$A$11)</f>
        <v>7</v>
      </c>
      <c r="B18" s="2" t="s">
        <v>42</v>
      </c>
      <c r="C18" s="2" t="s">
        <v>15</v>
      </c>
      <c r="D18" s="2" t="s">
        <v>14</v>
      </c>
      <c r="E18" s="2">
        <v>1</v>
      </c>
      <c r="F18" s="2">
        <v>0</v>
      </c>
      <c r="G18" s="2">
        <v>1</v>
      </c>
      <c r="H18" s="2">
        <v>3</v>
      </c>
      <c r="I18" s="2">
        <v>1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2</v>
      </c>
      <c r="Q18" s="2"/>
      <c r="R18" s="2">
        <v>0</v>
      </c>
    </row>
    <row r="19" spans="1:18" x14ac:dyDescent="0.35">
      <c r="A19" s="1">
        <f>_xlfn.XLOOKUP(B19,[1]DimPlayers!$B$2:$B$11,[1]DimPlayers!$A$2:$A$11)</f>
        <v>8</v>
      </c>
      <c r="B19" s="1" t="s">
        <v>43</v>
      </c>
      <c r="C19" s="1" t="s">
        <v>15</v>
      </c>
      <c r="D19" s="1" t="s">
        <v>14</v>
      </c>
      <c r="E19" s="1">
        <v>0</v>
      </c>
      <c r="F19" s="1">
        <v>0</v>
      </c>
      <c r="G19" s="1">
        <v>1</v>
      </c>
      <c r="H19" s="1">
        <v>3</v>
      </c>
      <c r="I19" s="1">
        <v>1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1</v>
      </c>
      <c r="Q19" s="1" t="s">
        <v>9</v>
      </c>
      <c r="R19" s="1">
        <v>1</v>
      </c>
    </row>
    <row r="20" spans="1:18" x14ac:dyDescent="0.35">
      <c r="A20" s="2">
        <f>_xlfn.XLOOKUP(B20,[1]DimPlayers!$B$2:$B$11,[1]DimPlayers!$A$2:$A$11)</f>
        <v>9</v>
      </c>
      <c r="B20" s="2" t="s">
        <v>44</v>
      </c>
      <c r="C20" s="2" t="s">
        <v>15</v>
      </c>
      <c r="D20" s="2" t="s">
        <v>14</v>
      </c>
      <c r="E20" s="2">
        <v>0</v>
      </c>
      <c r="F20" s="2">
        <v>1</v>
      </c>
      <c r="G20" s="2">
        <v>0</v>
      </c>
      <c r="H20" s="2">
        <v>5</v>
      </c>
      <c r="I20" s="2">
        <v>1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3</v>
      </c>
      <c r="Q20" s="2"/>
      <c r="R20" s="2">
        <v>0</v>
      </c>
    </row>
    <row r="21" spans="1:18" x14ac:dyDescent="0.35">
      <c r="A21" s="1">
        <f>_xlfn.XLOOKUP(B21,[1]DimPlayers!$B$2:$B$11,[1]DimPlayers!$A$2:$A$11)</f>
        <v>10</v>
      </c>
      <c r="B21" s="1" t="s">
        <v>45</v>
      </c>
      <c r="C21" s="1" t="s">
        <v>15</v>
      </c>
      <c r="D21" s="1" t="s">
        <v>14</v>
      </c>
      <c r="E21" s="1">
        <v>0</v>
      </c>
      <c r="F21" s="1">
        <v>0</v>
      </c>
      <c r="G21" s="1">
        <v>0</v>
      </c>
      <c r="H21" s="1">
        <v>1</v>
      </c>
      <c r="I21" s="1">
        <v>1</v>
      </c>
      <c r="J21" s="1">
        <v>0</v>
      </c>
      <c r="K21" s="1">
        <v>0</v>
      </c>
      <c r="L21" s="1">
        <v>8</v>
      </c>
      <c r="M21" s="1">
        <v>4</v>
      </c>
      <c r="N21" s="1">
        <v>0</v>
      </c>
      <c r="O21" s="1">
        <v>0</v>
      </c>
      <c r="P21" s="1">
        <v>0</v>
      </c>
      <c r="Q21" s="1"/>
      <c r="R21" s="1">
        <v>0</v>
      </c>
    </row>
    <row r="22" spans="1:18" x14ac:dyDescent="0.35">
      <c r="A22" s="2">
        <f>_xlfn.XLOOKUP(B22,[1]DimPlayers!$B$2:$B$11,[1]DimPlayers!$A$2:$A$11)</f>
        <v>1</v>
      </c>
      <c r="B22" s="2" t="s">
        <v>36</v>
      </c>
      <c r="C22" s="2" t="s">
        <v>13</v>
      </c>
      <c r="D22" s="2" t="s">
        <v>12</v>
      </c>
      <c r="E22" s="2">
        <v>3</v>
      </c>
      <c r="F22" s="2">
        <v>2</v>
      </c>
      <c r="G22" s="2">
        <v>5</v>
      </c>
      <c r="H22" s="2">
        <v>3</v>
      </c>
      <c r="I22" s="2">
        <v>2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 t="s">
        <v>3</v>
      </c>
      <c r="R22" s="2">
        <v>1</v>
      </c>
    </row>
    <row r="23" spans="1:18" x14ac:dyDescent="0.35">
      <c r="A23" s="1">
        <f>_xlfn.XLOOKUP(B23,[1]DimPlayers!$B$2:$B$11,[1]DimPlayers!$A$2:$A$11)</f>
        <v>2</v>
      </c>
      <c r="B23" s="1" t="s">
        <v>37</v>
      </c>
      <c r="C23" s="1" t="s">
        <v>13</v>
      </c>
      <c r="D23" s="1" t="s">
        <v>12</v>
      </c>
      <c r="E23" s="1">
        <v>0</v>
      </c>
      <c r="F23" s="1">
        <v>1</v>
      </c>
      <c r="G23" s="1">
        <v>0</v>
      </c>
      <c r="H23" s="1">
        <v>1</v>
      </c>
      <c r="I23" s="1">
        <v>2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/>
      <c r="R23" s="1">
        <v>0</v>
      </c>
    </row>
    <row r="24" spans="1:18" x14ac:dyDescent="0.35">
      <c r="A24" s="2">
        <f>_xlfn.XLOOKUP(B24,[1]DimPlayers!$B$2:$B$11,[1]DimPlayers!$A$2:$A$11)</f>
        <v>3</v>
      </c>
      <c r="B24" s="2" t="s">
        <v>38</v>
      </c>
      <c r="C24" s="2" t="s">
        <v>13</v>
      </c>
      <c r="D24" s="2" t="s">
        <v>12</v>
      </c>
      <c r="E24" s="2">
        <v>0</v>
      </c>
      <c r="F24" s="2">
        <v>2</v>
      </c>
      <c r="G24" s="2">
        <v>0</v>
      </c>
      <c r="H24" s="2">
        <v>2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/>
      <c r="R24" s="2">
        <v>0</v>
      </c>
    </row>
    <row r="25" spans="1:18" x14ac:dyDescent="0.35">
      <c r="A25" s="1">
        <f>_xlfn.XLOOKUP(B25,[1]DimPlayers!$B$2:$B$11,[1]DimPlayers!$A$2:$A$11)</f>
        <v>4</v>
      </c>
      <c r="B25" s="1" t="s">
        <v>39</v>
      </c>
      <c r="C25" s="1" t="s">
        <v>13</v>
      </c>
      <c r="D25" s="1" t="s">
        <v>12</v>
      </c>
      <c r="E25" s="1">
        <v>1</v>
      </c>
      <c r="F25" s="1">
        <v>2</v>
      </c>
      <c r="G25" s="1">
        <v>4</v>
      </c>
      <c r="H25" s="1">
        <v>2</v>
      </c>
      <c r="I25" s="1">
        <v>2</v>
      </c>
      <c r="J25" s="1">
        <v>1</v>
      </c>
      <c r="K25" s="1">
        <v>1</v>
      </c>
      <c r="L25" s="1">
        <v>0</v>
      </c>
      <c r="M25" s="1">
        <v>0</v>
      </c>
      <c r="N25" s="1">
        <v>0</v>
      </c>
      <c r="O25" s="1">
        <v>0</v>
      </c>
      <c r="P25" s="1">
        <v>1</v>
      </c>
      <c r="Q25" s="1"/>
      <c r="R25" s="1">
        <v>0</v>
      </c>
    </row>
    <row r="26" spans="1:18" x14ac:dyDescent="0.35">
      <c r="A26" s="2">
        <f>_xlfn.XLOOKUP(B26,[1]DimPlayers!$B$2:$B$11,[1]DimPlayers!$A$2:$A$11)</f>
        <v>5</v>
      </c>
      <c r="B26" s="2" t="s">
        <v>40</v>
      </c>
      <c r="C26" s="2" t="s">
        <v>13</v>
      </c>
      <c r="D26" s="2" t="s">
        <v>12</v>
      </c>
      <c r="E26" s="2">
        <v>0</v>
      </c>
      <c r="F26" s="2">
        <v>0</v>
      </c>
      <c r="G26" s="2">
        <v>0</v>
      </c>
      <c r="H26" s="2">
        <v>4</v>
      </c>
      <c r="I26" s="2">
        <v>1</v>
      </c>
      <c r="J26" s="2">
        <v>3</v>
      </c>
      <c r="K26" s="2">
        <v>3</v>
      </c>
      <c r="L26" s="2">
        <v>0</v>
      </c>
      <c r="M26" s="2">
        <v>0</v>
      </c>
      <c r="N26" s="2">
        <v>0</v>
      </c>
      <c r="O26" s="2">
        <v>0</v>
      </c>
      <c r="P26" s="2">
        <v>1</v>
      </c>
      <c r="Q26" s="2"/>
      <c r="R26" s="2">
        <v>0</v>
      </c>
    </row>
    <row r="27" spans="1:18" x14ac:dyDescent="0.35">
      <c r="A27" s="1">
        <f>_xlfn.XLOOKUP(B27,[1]DimPlayers!$B$2:$B$11,[1]DimPlayers!$A$2:$A$11)</f>
        <v>6</v>
      </c>
      <c r="B27" s="1" t="s">
        <v>41</v>
      </c>
      <c r="C27" s="1" t="s">
        <v>13</v>
      </c>
      <c r="D27" s="1" t="s">
        <v>12</v>
      </c>
      <c r="E27" s="1">
        <v>0</v>
      </c>
      <c r="F27" s="1">
        <v>0</v>
      </c>
      <c r="G27" s="1">
        <v>1</v>
      </c>
      <c r="H27" s="1">
        <v>3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</v>
      </c>
      <c r="Q27" s="1"/>
      <c r="R27" s="1">
        <v>0</v>
      </c>
    </row>
    <row r="28" spans="1:18" x14ac:dyDescent="0.35">
      <c r="A28" s="2">
        <f>_xlfn.XLOOKUP(B28,[1]DimPlayers!$B$2:$B$11,[1]DimPlayers!$A$2:$A$11)</f>
        <v>7</v>
      </c>
      <c r="B28" s="2" t="s">
        <v>42</v>
      </c>
      <c r="C28" s="2" t="s">
        <v>13</v>
      </c>
      <c r="D28" s="2" t="s">
        <v>12</v>
      </c>
      <c r="E28" s="2">
        <v>1</v>
      </c>
      <c r="F28" s="2">
        <v>0</v>
      </c>
      <c r="G28" s="2">
        <v>2</v>
      </c>
      <c r="H28" s="2">
        <v>2</v>
      </c>
      <c r="I28" s="2">
        <v>2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1</v>
      </c>
      <c r="Q28" s="2"/>
      <c r="R28" s="2">
        <v>0</v>
      </c>
    </row>
    <row r="29" spans="1:18" x14ac:dyDescent="0.35">
      <c r="A29" s="1">
        <f>_xlfn.XLOOKUP(B29,[1]DimPlayers!$B$2:$B$11,[1]DimPlayers!$A$2:$A$11)</f>
        <v>8</v>
      </c>
      <c r="B29" s="1" t="s">
        <v>43</v>
      </c>
      <c r="C29" s="1" t="s">
        <v>13</v>
      </c>
      <c r="D29" s="1" t="s">
        <v>12</v>
      </c>
      <c r="E29" s="1">
        <v>1</v>
      </c>
      <c r="F29" s="1">
        <v>0</v>
      </c>
      <c r="G29" s="1">
        <v>1</v>
      </c>
      <c r="H29" s="1">
        <v>5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1</v>
      </c>
      <c r="Q29" s="1"/>
      <c r="R29" s="1">
        <v>0</v>
      </c>
    </row>
    <row r="30" spans="1:18" x14ac:dyDescent="0.35">
      <c r="A30" s="2">
        <f>_xlfn.XLOOKUP(B30,[1]DimPlayers!$B$2:$B$11,[1]DimPlayers!$A$2:$A$11)</f>
        <v>9</v>
      </c>
      <c r="B30" s="2" t="s">
        <v>44</v>
      </c>
      <c r="C30" s="2" t="s">
        <v>13</v>
      </c>
      <c r="D30" s="2" t="s">
        <v>12</v>
      </c>
      <c r="E30" s="2">
        <v>1</v>
      </c>
      <c r="F30" s="2">
        <v>1</v>
      </c>
      <c r="G30" s="2">
        <v>2</v>
      </c>
      <c r="H30" s="2">
        <v>2</v>
      </c>
      <c r="I30" s="2">
        <v>3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1</v>
      </c>
      <c r="Q30" s="2"/>
      <c r="R30" s="2">
        <v>0</v>
      </c>
    </row>
    <row r="31" spans="1:18" x14ac:dyDescent="0.35">
      <c r="A31" s="1">
        <f>_xlfn.XLOOKUP(B31,[1]DimPlayers!$B$2:$B$11,[1]DimPlayers!$A$2:$A$11)</f>
        <v>10</v>
      </c>
      <c r="B31" s="1" t="s">
        <v>45</v>
      </c>
      <c r="C31" s="1" t="s">
        <v>13</v>
      </c>
      <c r="D31" s="1" t="s">
        <v>12</v>
      </c>
      <c r="E31" s="1">
        <v>0</v>
      </c>
      <c r="F31" s="1">
        <v>0</v>
      </c>
      <c r="G31" s="1">
        <v>0</v>
      </c>
      <c r="H31" s="1">
        <v>0</v>
      </c>
      <c r="I31" s="1">
        <v>1</v>
      </c>
      <c r="J31" s="1">
        <v>0</v>
      </c>
      <c r="K31" s="1">
        <v>0</v>
      </c>
      <c r="L31" s="1">
        <v>9</v>
      </c>
      <c r="M31" s="1">
        <v>3</v>
      </c>
      <c r="N31" s="1">
        <v>0</v>
      </c>
      <c r="O31" s="1">
        <v>0</v>
      </c>
      <c r="P31" s="1">
        <v>0</v>
      </c>
      <c r="Q31" s="1" t="s">
        <v>9</v>
      </c>
      <c r="R31" s="1">
        <v>1</v>
      </c>
    </row>
    <row r="32" spans="1:18" x14ac:dyDescent="0.35">
      <c r="A32" s="2">
        <f>_xlfn.XLOOKUP(B32,[1]DimPlayers!$B$2:$B$11,[1]DimPlayers!$A$2:$A$11)</f>
        <v>1</v>
      </c>
      <c r="B32" s="2" t="s">
        <v>36</v>
      </c>
      <c r="C32" s="2" t="s">
        <v>11</v>
      </c>
      <c r="D32" s="2" t="s">
        <v>10</v>
      </c>
      <c r="E32" s="2">
        <v>3</v>
      </c>
      <c r="F32" s="2">
        <v>2</v>
      </c>
      <c r="G32" s="2">
        <v>7</v>
      </c>
      <c r="H32" s="2">
        <v>3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 t="s">
        <v>4</v>
      </c>
      <c r="R32" s="2">
        <v>0</v>
      </c>
    </row>
    <row r="33" spans="1:18" x14ac:dyDescent="0.35">
      <c r="A33" s="1">
        <f>_xlfn.XLOOKUP(B33,[1]DimPlayers!$B$2:$B$11,[1]DimPlayers!$A$2:$A$11)</f>
        <v>2</v>
      </c>
      <c r="B33" s="1" t="s">
        <v>37</v>
      </c>
      <c r="C33" s="1" t="s">
        <v>11</v>
      </c>
      <c r="D33" s="1" t="s">
        <v>10</v>
      </c>
      <c r="E33" s="1">
        <v>0</v>
      </c>
      <c r="F33" s="1">
        <v>2</v>
      </c>
      <c r="G33" s="1">
        <v>2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1</v>
      </c>
      <c r="Q33" s="1" t="s">
        <v>3</v>
      </c>
      <c r="R33" s="1">
        <v>1</v>
      </c>
    </row>
    <row r="34" spans="1:18" x14ac:dyDescent="0.35">
      <c r="A34" s="2">
        <f>_xlfn.XLOOKUP(B34,[1]DimPlayers!$B$2:$B$11,[1]DimPlayers!$A$2:$A$11)</f>
        <v>3</v>
      </c>
      <c r="B34" s="2" t="s">
        <v>38</v>
      </c>
      <c r="C34" s="2" t="s">
        <v>11</v>
      </c>
      <c r="D34" s="2" t="s">
        <v>10</v>
      </c>
      <c r="E34" s="2">
        <v>0</v>
      </c>
      <c r="F34" s="2">
        <v>2</v>
      </c>
      <c r="G34" s="2">
        <v>0</v>
      </c>
      <c r="H34" s="2">
        <v>2</v>
      </c>
      <c r="I34" s="2">
        <v>0</v>
      </c>
      <c r="J34" s="2">
        <v>4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2</v>
      </c>
      <c r="Q34" s="2"/>
      <c r="R34" s="2">
        <v>0</v>
      </c>
    </row>
    <row r="35" spans="1:18" x14ac:dyDescent="0.35">
      <c r="A35" s="1">
        <f>_xlfn.XLOOKUP(B35,[1]DimPlayers!$B$2:$B$11,[1]DimPlayers!$A$2:$A$11)</f>
        <v>4</v>
      </c>
      <c r="B35" s="1" t="s">
        <v>39</v>
      </c>
      <c r="C35" s="1" t="s">
        <v>11</v>
      </c>
      <c r="D35" s="1" t="s">
        <v>10</v>
      </c>
      <c r="E35" s="1">
        <v>1</v>
      </c>
      <c r="F35" s="1">
        <v>0</v>
      </c>
      <c r="G35" s="1">
        <v>2</v>
      </c>
      <c r="H35" s="1">
        <v>1</v>
      </c>
      <c r="I35" s="1">
        <v>2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2</v>
      </c>
      <c r="Q35" s="1"/>
      <c r="R35" s="1">
        <v>0</v>
      </c>
    </row>
    <row r="36" spans="1:18" x14ac:dyDescent="0.35">
      <c r="A36" s="2">
        <f>_xlfn.XLOOKUP(B36,[1]DimPlayers!$B$2:$B$11,[1]DimPlayers!$A$2:$A$11)</f>
        <v>5</v>
      </c>
      <c r="B36" s="2" t="s">
        <v>40</v>
      </c>
      <c r="C36" s="2" t="s">
        <v>11</v>
      </c>
      <c r="D36" s="2" t="s">
        <v>10</v>
      </c>
      <c r="E36" s="2">
        <v>1</v>
      </c>
      <c r="F36" s="2">
        <v>0</v>
      </c>
      <c r="G36" s="2">
        <v>3</v>
      </c>
      <c r="H36" s="2">
        <v>2</v>
      </c>
      <c r="I36" s="2">
        <v>1</v>
      </c>
      <c r="J36" s="2">
        <v>3</v>
      </c>
      <c r="K36" s="2">
        <v>1</v>
      </c>
      <c r="L36" s="2">
        <v>0</v>
      </c>
      <c r="M36" s="2">
        <v>0</v>
      </c>
      <c r="N36" s="2">
        <v>0</v>
      </c>
      <c r="O36" s="2">
        <v>0</v>
      </c>
      <c r="P36" s="2">
        <v>1</v>
      </c>
      <c r="Q36" s="2"/>
      <c r="R36" s="2">
        <v>0</v>
      </c>
    </row>
    <row r="37" spans="1:18" x14ac:dyDescent="0.35">
      <c r="A37" s="1">
        <f>_xlfn.XLOOKUP(B37,[1]DimPlayers!$B$2:$B$11,[1]DimPlayers!$A$2:$A$11)</f>
        <v>6</v>
      </c>
      <c r="B37" s="1" t="s">
        <v>41</v>
      </c>
      <c r="C37" s="1" t="s">
        <v>11</v>
      </c>
      <c r="D37" s="1" t="s">
        <v>10</v>
      </c>
      <c r="E37" s="1">
        <v>1</v>
      </c>
      <c r="F37" s="1">
        <v>0</v>
      </c>
      <c r="G37" s="1">
        <v>1</v>
      </c>
      <c r="H37" s="1">
        <v>4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1</v>
      </c>
      <c r="Q37" s="1"/>
      <c r="R37" s="1">
        <v>0</v>
      </c>
    </row>
    <row r="38" spans="1:18" x14ac:dyDescent="0.35">
      <c r="A38" s="2">
        <f>_xlfn.XLOOKUP(B38,[1]DimPlayers!$B$2:$B$11,[1]DimPlayers!$A$2:$A$11)</f>
        <v>7</v>
      </c>
      <c r="B38" s="2" t="s">
        <v>42</v>
      </c>
      <c r="C38" s="2" t="s">
        <v>11</v>
      </c>
      <c r="D38" s="2" t="s">
        <v>10</v>
      </c>
      <c r="E38" s="2">
        <v>0</v>
      </c>
      <c r="F38" s="2">
        <v>1</v>
      </c>
      <c r="G38" s="2">
        <v>0</v>
      </c>
      <c r="H38" s="2">
        <v>2</v>
      </c>
      <c r="I38" s="2">
        <v>2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1</v>
      </c>
      <c r="P38" s="2">
        <v>1</v>
      </c>
      <c r="Q38" s="2"/>
      <c r="R38" s="2">
        <v>0</v>
      </c>
    </row>
    <row r="39" spans="1:18" x14ac:dyDescent="0.35">
      <c r="A39" s="1">
        <f>_xlfn.XLOOKUP(B39,[1]DimPlayers!$B$2:$B$11,[1]DimPlayers!$A$2:$A$11)</f>
        <v>8</v>
      </c>
      <c r="B39" s="1" t="s">
        <v>43</v>
      </c>
      <c r="C39" s="1" t="s">
        <v>11</v>
      </c>
      <c r="D39" s="1" t="s">
        <v>10</v>
      </c>
      <c r="E39" s="1">
        <v>1</v>
      </c>
      <c r="F39" s="1">
        <v>0</v>
      </c>
      <c r="G39" s="1">
        <v>3</v>
      </c>
      <c r="H39" s="1">
        <v>5</v>
      </c>
      <c r="I39" s="1">
        <v>2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1</v>
      </c>
      <c r="Q39" s="1"/>
      <c r="R39" s="1">
        <v>0</v>
      </c>
    </row>
    <row r="40" spans="1:18" x14ac:dyDescent="0.35">
      <c r="A40" s="2">
        <f>_xlfn.XLOOKUP(B40,[1]DimPlayers!$B$2:$B$11,[1]DimPlayers!$A$2:$A$11)</f>
        <v>9</v>
      </c>
      <c r="B40" s="2" t="s">
        <v>44</v>
      </c>
      <c r="C40" s="2" t="s">
        <v>11</v>
      </c>
      <c r="D40" s="2" t="s">
        <v>10</v>
      </c>
      <c r="E40" s="2">
        <v>0</v>
      </c>
      <c r="F40" s="2">
        <v>0</v>
      </c>
      <c r="G40" s="2">
        <v>2</v>
      </c>
      <c r="H40" s="2">
        <v>5</v>
      </c>
      <c r="I40" s="2">
        <v>1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1</v>
      </c>
      <c r="P40" s="2">
        <v>2</v>
      </c>
      <c r="Q40" s="2"/>
      <c r="R40" s="2">
        <v>0</v>
      </c>
    </row>
    <row r="41" spans="1:18" x14ac:dyDescent="0.35">
      <c r="A41" s="1">
        <f>_xlfn.XLOOKUP(B41,[1]DimPlayers!$B$2:$B$11,[1]DimPlayers!$A$2:$A$11)</f>
        <v>10</v>
      </c>
      <c r="B41" s="1" t="s">
        <v>45</v>
      </c>
      <c r="C41" s="1" t="s">
        <v>11</v>
      </c>
      <c r="D41" s="1" t="s">
        <v>10</v>
      </c>
      <c r="E41" s="1">
        <v>0</v>
      </c>
      <c r="F41" s="1">
        <v>0</v>
      </c>
      <c r="G41" s="1">
        <v>0</v>
      </c>
      <c r="H41" s="1">
        <v>2</v>
      </c>
      <c r="I41" s="1">
        <v>1</v>
      </c>
      <c r="J41" s="1">
        <v>0</v>
      </c>
      <c r="K41" s="1">
        <v>0</v>
      </c>
      <c r="L41" s="1">
        <v>8</v>
      </c>
      <c r="M41" s="1">
        <v>3</v>
      </c>
      <c r="N41" s="1">
        <v>0</v>
      </c>
      <c r="O41" s="1">
        <v>0</v>
      </c>
      <c r="P41" s="1">
        <v>0</v>
      </c>
      <c r="Q41" s="1"/>
      <c r="R41" s="1">
        <v>0</v>
      </c>
    </row>
    <row r="42" spans="1:18" x14ac:dyDescent="0.35">
      <c r="A42" s="2">
        <f>_xlfn.XLOOKUP(B42,[1]DimPlayers!$B$2:$B$11,[1]DimPlayers!$A$2:$A$11)</f>
        <v>1</v>
      </c>
      <c r="B42" s="2" t="s">
        <v>36</v>
      </c>
      <c r="C42" s="2" t="s">
        <v>8</v>
      </c>
      <c r="D42" s="2" t="s">
        <v>7</v>
      </c>
      <c r="E42" s="2">
        <v>2</v>
      </c>
      <c r="F42" s="2">
        <v>0</v>
      </c>
      <c r="G42" s="2">
        <v>2</v>
      </c>
      <c r="H42" s="2">
        <v>3</v>
      </c>
      <c r="I42" s="2">
        <v>1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1</v>
      </c>
      <c r="Q42" s="2"/>
      <c r="R42" s="2">
        <v>0</v>
      </c>
    </row>
    <row r="43" spans="1:18" x14ac:dyDescent="0.35">
      <c r="A43" s="1">
        <f>_xlfn.XLOOKUP(B43,[1]DimPlayers!$B$2:$B$11,[1]DimPlayers!$A$2:$A$11)</f>
        <v>2</v>
      </c>
      <c r="B43" s="1" t="s">
        <v>37</v>
      </c>
      <c r="C43" s="1" t="s">
        <v>8</v>
      </c>
      <c r="D43" s="1" t="s">
        <v>7</v>
      </c>
      <c r="E43" s="1">
        <v>2</v>
      </c>
      <c r="F43" s="1">
        <v>0</v>
      </c>
      <c r="G43" s="1">
        <v>5</v>
      </c>
      <c r="H43" s="1">
        <v>3</v>
      </c>
      <c r="I43" s="1">
        <v>2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/>
      <c r="R43" s="1">
        <v>0</v>
      </c>
    </row>
    <row r="44" spans="1:18" x14ac:dyDescent="0.35">
      <c r="A44" s="2">
        <f>_xlfn.XLOOKUP(B44,[1]DimPlayers!$B$2:$B$11,[1]DimPlayers!$A$2:$A$11)</f>
        <v>3</v>
      </c>
      <c r="B44" s="2" t="s">
        <v>38</v>
      </c>
      <c r="C44" s="2" t="s">
        <v>8</v>
      </c>
      <c r="D44" s="2" t="s">
        <v>7</v>
      </c>
      <c r="E44" s="2">
        <v>2</v>
      </c>
      <c r="F44" s="2">
        <v>0</v>
      </c>
      <c r="G44" s="2">
        <v>4</v>
      </c>
      <c r="H44" s="2">
        <v>2</v>
      </c>
      <c r="I44" s="2">
        <v>1</v>
      </c>
      <c r="J44" s="2">
        <v>1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/>
      <c r="R44" s="2">
        <v>0</v>
      </c>
    </row>
    <row r="45" spans="1:18" x14ac:dyDescent="0.35">
      <c r="A45" s="1">
        <f>_xlfn.XLOOKUP(B45,[1]DimPlayers!$B$2:$B$11,[1]DimPlayers!$A$2:$A$11)</f>
        <v>4</v>
      </c>
      <c r="B45" s="1" t="s">
        <v>39</v>
      </c>
      <c r="C45" s="1" t="s">
        <v>8</v>
      </c>
      <c r="D45" s="1" t="s">
        <v>7</v>
      </c>
      <c r="E45" s="1">
        <v>0</v>
      </c>
      <c r="F45" s="1">
        <v>2</v>
      </c>
      <c r="G45" s="1">
        <v>1</v>
      </c>
      <c r="H45" s="1">
        <v>1</v>
      </c>
      <c r="I45" s="1">
        <v>1</v>
      </c>
      <c r="J45" s="1">
        <v>4</v>
      </c>
      <c r="K45" s="1">
        <v>3</v>
      </c>
      <c r="L45" s="1">
        <v>0</v>
      </c>
      <c r="M45" s="1">
        <v>0</v>
      </c>
      <c r="N45" s="1">
        <v>0</v>
      </c>
      <c r="O45" s="1">
        <v>0</v>
      </c>
      <c r="P45" s="1">
        <v>2</v>
      </c>
      <c r="Q45" s="1"/>
      <c r="R45" s="1">
        <v>0</v>
      </c>
    </row>
    <row r="46" spans="1:18" x14ac:dyDescent="0.35">
      <c r="A46" s="2">
        <f>_xlfn.XLOOKUP(B46,[1]DimPlayers!$B$2:$B$11,[1]DimPlayers!$A$2:$A$11)</f>
        <v>5</v>
      </c>
      <c r="B46" s="2" t="s">
        <v>40</v>
      </c>
      <c r="C46" s="2" t="s">
        <v>8</v>
      </c>
      <c r="D46" s="2" t="s">
        <v>7</v>
      </c>
      <c r="E46" s="2">
        <v>0</v>
      </c>
      <c r="F46" s="2">
        <v>0</v>
      </c>
      <c r="G46" s="2">
        <v>1</v>
      </c>
      <c r="H46" s="2">
        <v>4</v>
      </c>
      <c r="I46" s="2">
        <v>0</v>
      </c>
      <c r="J46" s="2">
        <v>1</v>
      </c>
      <c r="K46" s="2">
        <v>1</v>
      </c>
      <c r="L46" s="2">
        <v>0</v>
      </c>
      <c r="M46" s="2">
        <v>0</v>
      </c>
      <c r="N46" s="2">
        <v>0</v>
      </c>
      <c r="O46" s="2">
        <v>0</v>
      </c>
      <c r="P46" s="2">
        <v>1</v>
      </c>
      <c r="Q46" s="2"/>
      <c r="R46" s="2">
        <v>0</v>
      </c>
    </row>
    <row r="47" spans="1:18" x14ac:dyDescent="0.35">
      <c r="A47" s="1">
        <f>_xlfn.XLOOKUP(B47,[1]DimPlayers!$B$2:$B$11,[1]DimPlayers!$A$2:$A$11)</f>
        <v>6</v>
      </c>
      <c r="B47" s="1" t="s">
        <v>41</v>
      </c>
      <c r="C47" s="1" t="s">
        <v>8</v>
      </c>
      <c r="D47" s="1" t="s">
        <v>7</v>
      </c>
      <c r="E47" s="1">
        <v>1</v>
      </c>
      <c r="F47" s="1">
        <v>0</v>
      </c>
      <c r="G47" s="1">
        <v>3</v>
      </c>
      <c r="H47" s="1">
        <v>1</v>
      </c>
      <c r="I47" s="1">
        <v>3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3</v>
      </c>
      <c r="Q47" s="1"/>
      <c r="R47" s="1">
        <v>0</v>
      </c>
    </row>
    <row r="48" spans="1:18" x14ac:dyDescent="0.35">
      <c r="A48" s="2">
        <f>_xlfn.XLOOKUP(B48,[1]DimPlayers!$B$2:$B$11,[1]DimPlayers!$A$2:$A$11)</f>
        <v>7</v>
      </c>
      <c r="B48" s="2" t="s">
        <v>42</v>
      </c>
      <c r="C48" s="2" t="s">
        <v>8</v>
      </c>
      <c r="D48" s="2" t="s">
        <v>7</v>
      </c>
      <c r="E48" s="2">
        <v>0</v>
      </c>
      <c r="F48" s="2">
        <v>1</v>
      </c>
      <c r="G48" s="2">
        <v>1</v>
      </c>
      <c r="H48" s="2">
        <v>3</v>
      </c>
      <c r="I48" s="2">
        <v>1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 t="s">
        <v>9</v>
      </c>
      <c r="R48" s="2">
        <v>0</v>
      </c>
    </row>
    <row r="49" spans="1:18" x14ac:dyDescent="0.35">
      <c r="A49" s="1">
        <f>_xlfn.XLOOKUP(B49,[1]DimPlayers!$B$2:$B$11,[1]DimPlayers!$A$2:$A$11)</f>
        <v>8</v>
      </c>
      <c r="B49" s="1" t="s">
        <v>43</v>
      </c>
      <c r="C49" s="1" t="s">
        <v>8</v>
      </c>
      <c r="D49" s="1" t="s">
        <v>7</v>
      </c>
      <c r="E49" s="1">
        <v>1</v>
      </c>
      <c r="F49" s="1">
        <v>1</v>
      </c>
      <c r="G49" s="1">
        <v>2</v>
      </c>
      <c r="H49" s="1">
        <v>1</v>
      </c>
      <c r="I49" s="1">
        <v>2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1</v>
      </c>
      <c r="P49" s="1">
        <v>3</v>
      </c>
      <c r="Q49" s="1"/>
      <c r="R49" s="1">
        <v>0</v>
      </c>
    </row>
    <row r="50" spans="1:18" x14ac:dyDescent="0.35">
      <c r="A50" s="2">
        <f>_xlfn.XLOOKUP(B50,[1]DimPlayers!$B$2:$B$11,[1]DimPlayers!$A$2:$A$11)</f>
        <v>9</v>
      </c>
      <c r="B50" s="2" t="s">
        <v>44</v>
      </c>
      <c r="C50" s="2" t="s">
        <v>8</v>
      </c>
      <c r="D50" s="2" t="s">
        <v>7</v>
      </c>
      <c r="E50" s="2">
        <v>0</v>
      </c>
      <c r="F50" s="2">
        <v>0</v>
      </c>
      <c r="G50" s="2">
        <v>1</v>
      </c>
      <c r="H50" s="2">
        <v>2</v>
      </c>
      <c r="I50" s="2">
        <v>2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/>
      <c r="R50" s="2">
        <v>0</v>
      </c>
    </row>
    <row r="51" spans="1:18" x14ac:dyDescent="0.35">
      <c r="A51" s="1">
        <f>_xlfn.XLOOKUP(B51,[1]DimPlayers!$B$2:$B$11,[1]DimPlayers!$A$2:$A$11)</f>
        <v>10</v>
      </c>
      <c r="B51" s="1" t="s">
        <v>45</v>
      </c>
      <c r="C51" s="1" t="s">
        <v>8</v>
      </c>
      <c r="D51" s="1" t="s">
        <v>7</v>
      </c>
      <c r="E51" s="1">
        <v>0</v>
      </c>
      <c r="F51" s="1">
        <v>0</v>
      </c>
      <c r="G51" s="1">
        <v>0</v>
      </c>
      <c r="H51" s="1">
        <v>1</v>
      </c>
      <c r="I51" s="1">
        <v>1</v>
      </c>
      <c r="J51" s="1">
        <v>0</v>
      </c>
      <c r="K51" s="1">
        <v>0</v>
      </c>
      <c r="L51" s="1">
        <v>11</v>
      </c>
      <c r="M51" s="1">
        <v>8</v>
      </c>
      <c r="N51" s="1">
        <v>0</v>
      </c>
      <c r="O51" s="1">
        <v>0</v>
      </c>
      <c r="P51" s="1">
        <v>0</v>
      </c>
      <c r="Q51" s="1"/>
      <c r="R51" s="1">
        <v>0</v>
      </c>
    </row>
    <row r="52" spans="1:18" x14ac:dyDescent="0.35">
      <c r="A52" s="2">
        <f>_xlfn.XLOOKUP(B52,[1]DimPlayers!$B$2:$B$11,[1]DimPlayers!$A$2:$A$11)</f>
        <v>1</v>
      </c>
      <c r="B52" s="2" t="s">
        <v>36</v>
      </c>
      <c r="C52" s="2" t="s">
        <v>6</v>
      </c>
      <c r="D52" s="2" t="s">
        <v>5</v>
      </c>
      <c r="E52" s="2">
        <v>1</v>
      </c>
      <c r="F52" s="2">
        <v>1</v>
      </c>
      <c r="G52" s="2">
        <v>1</v>
      </c>
      <c r="H52" s="2">
        <v>3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/>
      <c r="R52" s="2">
        <v>0</v>
      </c>
    </row>
    <row r="53" spans="1:18" x14ac:dyDescent="0.35">
      <c r="A53" s="1">
        <f>_xlfn.XLOOKUP(B53,[1]DimPlayers!$B$2:$B$11,[1]DimPlayers!$A$2:$A$11)</f>
        <v>2</v>
      </c>
      <c r="B53" s="1" t="s">
        <v>37</v>
      </c>
      <c r="C53" s="1" t="s">
        <v>6</v>
      </c>
      <c r="D53" s="1" t="s">
        <v>5</v>
      </c>
      <c r="E53" s="1">
        <v>3</v>
      </c>
      <c r="F53" s="1">
        <v>0</v>
      </c>
      <c r="G53" s="1">
        <v>5</v>
      </c>
      <c r="H53" s="1">
        <v>2</v>
      </c>
      <c r="I53" s="1">
        <v>2</v>
      </c>
      <c r="J53" s="1">
        <v>0</v>
      </c>
      <c r="K53" s="1">
        <v>0</v>
      </c>
      <c r="L53" s="1">
        <v>0</v>
      </c>
      <c r="M53" s="1">
        <v>0</v>
      </c>
      <c r="N53" s="1">
        <v>1</v>
      </c>
      <c r="O53" s="1">
        <v>0</v>
      </c>
      <c r="P53" s="1">
        <v>1</v>
      </c>
      <c r="Q53" s="1" t="s">
        <v>4</v>
      </c>
      <c r="R53" s="1">
        <v>0</v>
      </c>
    </row>
    <row r="54" spans="1:18" x14ac:dyDescent="0.35">
      <c r="A54" s="2">
        <f>_xlfn.XLOOKUP(B54,[1]DimPlayers!$B$2:$B$11,[1]DimPlayers!$A$2:$A$11)</f>
        <v>3</v>
      </c>
      <c r="B54" s="2" t="s">
        <v>38</v>
      </c>
      <c r="C54" s="2" t="s">
        <v>6</v>
      </c>
      <c r="D54" s="2" t="s">
        <v>5</v>
      </c>
      <c r="E54" s="2">
        <v>2</v>
      </c>
      <c r="F54" s="2">
        <v>1</v>
      </c>
      <c r="G54" s="2">
        <v>4</v>
      </c>
      <c r="H54" s="2">
        <v>4</v>
      </c>
      <c r="I54" s="2">
        <v>2</v>
      </c>
      <c r="J54" s="2">
        <v>2</v>
      </c>
      <c r="K54" s="2">
        <v>2</v>
      </c>
      <c r="L54" s="2">
        <v>0</v>
      </c>
      <c r="M54" s="2">
        <v>0</v>
      </c>
      <c r="N54" s="2">
        <v>0</v>
      </c>
      <c r="O54" s="2">
        <v>0</v>
      </c>
      <c r="P54" s="2">
        <v>1</v>
      </c>
      <c r="Q54" s="2"/>
      <c r="R54" s="2">
        <v>0</v>
      </c>
    </row>
    <row r="55" spans="1:18" x14ac:dyDescent="0.35">
      <c r="A55" s="1">
        <f>_xlfn.XLOOKUP(B55,[1]DimPlayers!$B$2:$B$11,[1]DimPlayers!$A$2:$A$11)</f>
        <v>4</v>
      </c>
      <c r="B55" s="1" t="s">
        <v>39</v>
      </c>
      <c r="C55" s="1" t="s">
        <v>6</v>
      </c>
      <c r="D55" s="1" t="s">
        <v>5</v>
      </c>
      <c r="E55" s="1">
        <v>2</v>
      </c>
      <c r="F55" s="1">
        <v>2</v>
      </c>
      <c r="G55" s="1">
        <v>3</v>
      </c>
      <c r="H55" s="1">
        <v>3</v>
      </c>
      <c r="I55" s="1">
        <v>1</v>
      </c>
      <c r="J55" s="1">
        <v>4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/>
      <c r="R55" s="1">
        <v>0</v>
      </c>
    </row>
    <row r="56" spans="1:18" x14ac:dyDescent="0.35">
      <c r="A56" s="2">
        <f>_xlfn.XLOOKUP(B56,[1]DimPlayers!$B$2:$B$11,[1]DimPlayers!$A$2:$A$11)</f>
        <v>5</v>
      </c>
      <c r="B56" s="2" t="s">
        <v>40</v>
      </c>
      <c r="C56" s="2" t="s">
        <v>6</v>
      </c>
      <c r="D56" s="2" t="s">
        <v>5</v>
      </c>
      <c r="E56" s="2">
        <v>2</v>
      </c>
      <c r="F56" s="2">
        <v>2</v>
      </c>
      <c r="G56" s="2">
        <v>4</v>
      </c>
      <c r="H56" s="2">
        <v>4</v>
      </c>
      <c r="I56" s="2">
        <v>1</v>
      </c>
      <c r="J56" s="2">
        <v>3</v>
      </c>
      <c r="K56" s="2">
        <v>1</v>
      </c>
      <c r="L56" s="2">
        <v>0</v>
      </c>
      <c r="M56" s="2">
        <v>0</v>
      </c>
      <c r="N56" s="2">
        <v>0</v>
      </c>
      <c r="O56" s="2">
        <v>0</v>
      </c>
      <c r="P56" s="2">
        <v>2</v>
      </c>
      <c r="Q56" s="2"/>
      <c r="R56" s="2">
        <v>0</v>
      </c>
    </row>
    <row r="57" spans="1:18" x14ac:dyDescent="0.35">
      <c r="A57" s="1">
        <f>_xlfn.XLOOKUP(B57,[1]DimPlayers!$B$2:$B$11,[1]DimPlayers!$A$2:$A$11)</f>
        <v>6</v>
      </c>
      <c r="B57" s="1" t="s">
        <v>41</v>
      </c>
      <c r="C57" s="1" t="s">
        <v>6</v>
      </c>
      <c r="D57" s="1" t="s">
        <v>5</v>
      </c>
      <c r="E57" s="1">
        <v>0</v>
      </c>
      <c r="F57" s="1">
        <v>1</v>
      </c>
      <c r="G57" s="1">
        <v>2</v>
      </c>
      <c r="H57" s="1">
        <v>5</v>
      </c>
      <c r="I57" s="1">
        <v>2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1</v>
      </c>
      <c r="Q57" s="1"/>
      <c r="R57" s="1">
        <v>0</v>
      </c>
    </row>
    <row r="58" spans="1:18" x14ac:dyDescent="0.35">
      <c r="A58" s="2">
        <f>_xlfn.XLOOKUP(B58,[1]DimPlayers!$B$2:$B$11,[1]DimPlayers!$A$2:$A$11)</f>
        <v>7</v>
      </c>
      <c r="B58" s="2" t="s">
        <v>42</v>
      </c>
      <c r="C58" s="2" t="s">
        <v>6</v>
      </c>
      <c r="D58" s="2" t="s">
        <v>5</v>
      </c>
      <c r="E58" s="2">
        <v>0</v>
      </c>
      <c r="F58" s="2">
        <v>0</v>
      </c>
      <c r="G58" s="2">
        <v>0</v>
      </c>
      <c r="H58" s="2">
        <v>1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3</v>
      </c>
      <c r="Q58" s="2" t="s">
        <v>3</v>
      </c>
      <c r="R58" s="2">
        <v>1</v>
      </c>
    </row>
    <row r="59" spans="1:18" x14ac:dyDescent="0.35">
      <c r="A59" s="1">
        <f>_xlfn.XLOOKUP(B59,[1]DimPlayers!$B$2:$B$11,[1]DimPlayers!$A$2:$A$11)</f>
        <v>8</v>
      </c>
      <c r="B59" s="1" t="s">
        <v>43</v>
      </c>
      <c r="C59" s="1" t="s">
        <v>6</v>
      </c>
      <c r="D59" s="1" t="s">
        <v>5</v>
      </c>
      <c r="E59" s="1">
        <v>1</v>
      </c>
      <c r="F59" s="1">
        <v>1</v>
      </c>
      <c r="G59" s="1">
        <v>3</v>
      </c>
      <c r="H59" s="1">
        <v>5</v>
      </c>
      <c r="I59" s="1">
        <v>1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1</v>
      </c>
      <c r="P59" s="1">
        <v>3</v>
      </c>
      <c r="Q59" s="1"/>
      <c r="R59" s="1">
        <v>0</v>
      </c>
    </row>
    <row r="60" spans="1:18" x14ac:dyDescent="0.35">
      <c r="A60" s="2">
        <f>_xlfn.XLOOKUP(B60,[1]DimPlayers!$B$2:$B$11,[1]DimPlayers!$A$2:$A$11)</f>
        <v>9</v>
      </c>
      <c r="B60" s="2" t="s">
        <v>44</v>
      </c>
      <c r="C60" s="2" t="s">
        <v>6</v>
      </c>
      <c r="D60" s="2" t="s">
        <v>5</v>
      </c>
      <c r="E60" s="2">
        <v>0</v>
      </c>
      <c r="F60" s="2">
        <v>0</v>
      </c>
      <c r="G60" s="2">
        <v>2</v>
      </c>
      <c r="H60" s="2">
        <v>1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1</v>
      </c>
      <c r="Q60" s="2"/>
      <c r="R60" s="2">
        <v>0</v>
      </c>
    </row>
    <row r="61" spans="1:18" x14ac:dyDescent="0.35">
      <c r="A61" s="1">
        <f>_xlfn.XLOOKUP(B61,[1]DimPlayers!$B$2:$B$11,[1]DimPlayers!$A$2:$A$11)</f>
        <v>10</v>
      </c>
      <c r="B61" s="1" t="s">
        <v>45</v>
      </c>
      <c r="C61" s="1" t="s">
        <v>6</v>
      </c>
      <c r="D61" s="1" t="s">
        <v>5</v>
      </c>
      <c r="E61" s="1">
        <v>0</v>
      </c>
      <c r="F61" s="1">
        <v>0</v>
      </c>
      <c r="G61" s="1">
        <v>0</v>
      </c>
      <c r="H61" s="1">
        <v>2</v>
      </c>
      <c r="I61" s="1">
        <v>1</v>
      </c>
      <c r="J61" s="1">
        <v>0</v>
      </c>
      <c r="K61" s="1">
        <v>0</v>
      </c>
      <c r="L61" s="1">
        <v>5</v>
      </c>
      <c r="M61" s="1">
        <v>1</v>
      </c>
      <c r="N61" s="1">
        <v>0</v>
      </c>
      <c r="O61" s="1">
        <v>0</v>
      </c>
      <c r="P61" s="1">
        <v>0</v>
      </c>
      <c r="Q61" s="1" t="s">
        <v>4</v>
      </c>
      <c r="R61" s="1">
        <v>0</v>
      </c>
    </row>
    <row r="62" spans="1:18" x14ac:dyDescent="0.35">
      <c r="A62" s="2">
        <f>_xlfn.XLOOKUP(B62,[1]DimPlayers!$B$2:$B$11,[1]DimPlayers!$A$2:$A$11)</f>
        <v>1</v>
      </c>
      <c r="B62" s="2" t="s">
        <v>36</v>
      </c>
      <c r="C62" s="2" t="s">
        <v>1</v>
      </c>
      <c r="D62" s="2" t="s">
        <v>0</v>
      </c>
      <c r="E62" s="2">
        <v>3</v>
      </c>
      <c r="F62" s="2">
        <v>0</v>
      </c>
      <c r="G62" s="2">
        <v>6</v>
      </c>
      <c r="H62" s="2">
        <v>2</v>
      </c>
      <c r="I62" s="2">
        <v>1</v>
      </c>
      <c r="J62" s="2">
        <v>0</v>
      </c>
      <c r="K62" s="2">
        <v>0</v>
      </c>
      <c r="L62" s="2">
        <v>0</v>
      </c>
      <c r="M62" s="2">
        <v>0</v>
      </c>
      <c r="N62" s="2">
        <v>1</v>
      </c>
      <c r="O62" s="2">
        <v>0</v>
      </c>
      <c r="P62" s="2">
        <v>1</v>
      </c>
      <c r="Q62" s="2" t="s">
        <v>3</v>
      </c>
      <c r="R62" s="2">
        <v>1</v>
      </c>
    </row>
    <row r="63" spans="1:18" x14ac:dyDescent="0.35">
      <c r="A63" s="1">
        <f>_xlfn.XLOOKUP(B63,[1]DimPlayers!$B$2:$B$11,[1]DimPlayers!$A$2:$A$11)</f>
        <v>2</v>
      </c>
      <c r="B63" s="1" t="s">
        <v>37</v>
      </c>
      <c r="C63" s="1" t="s">
        <v>1</v>
      </c>
      <c r="D63" s="1" t="s">
        <v>0</v>
      </c>
      <c r="E63" s="1">
        <v>1</v>
      </c>
      <c r="F63" s="1">
        <v>2</v>
      </c>
      <c r="G63" s="1">
        <v>4</v>
      </c>
      <c r="H63" s="1">
        <v>3</v>
      </c>
      <c r="I63" s="1">
        <v>1</v>
      </c>
      <c r="J63" s="1">
        <v>0</v>
      </c>
      <c r="K63" s="1">
        <v>0</v>
      </c>
      <c r="L63" s="1">
        <v>0</v>
      </c>
      <c r="M63" s="1">
        <v>0</v>
      </c>
      <c r="N63" s="1">
        <v>1</v>
      </c>
      <c r="O63" s="1">
        <v>0</v>
      </c>
      <c r="P63" s="1">
        <v>1</v>
      </c>
      <c r="Q63" s="1"/>
      <c r="R63" s="1">
        <v>0</v>
      </c>
    </row>
    <row r="64" spans="1:18" x14ac:dyDescent="0.35">
      <c r="A64" s="2">
        <f>_xlfn.XLOOKUP(B64,[1]DimPlayers!$B$2:$B$11,[1]DimPlayers!$A$2:$A$11)</f>
        <v>3</v>
      </c>
      <c r="B64" s="2" t="s">
        <v>38</v>
      </c>
      <c r="C64" s="2" t="s">
        <v>1</v>
      </c>
      <c r="D64" s="2" t="s">
        <v>0</v>
      </c>
      <c r="E64" s="2">
        <v>2</v>
      </c>
      <c r="F64" s="2">
        <v>0</v>
      </c>
      <c r="G64" s="2">
        <v>4</v>
      </c>
      <c r="H64" s="2">
        <v>4</v>
      </c>
      <c r="I64" s="2">
        <v>0</v>
      </c>
      <c r="J64" s="2">
        <v>2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1</v>
      </c>
      <c r="Q64" s="2"/>
      <c r="R64" s="2">
        <v>0</v>
      </c>
    </row>
    <row r="65" spans="1:18" x14ac:dyDescent="0.35">
      <c r="A65" s="1">
        <f>_xlfn.XLOOKUP(B65,[1]DimPlayers!$B$2:$B$11,[1]DimPlayers!$A$2:$A$11)</f>
        <v>4</v>
      </c>
      <c r="B65" s="1" t="s">
        <v>39</v>
      </c>
      <c r="C65" s="1" t="s">
        <v>1</v>
      </c>
      <c r="D65" s="1" t="s">
        <v>0</v>
      </c>
      <c r="E65" s="1">
        <v>0</v>
      </c>
      <c r="F65" s="1">
        <v>0</v>
      </c>
      <c r="G65" s="1">
        <v>1</v>
      </c>
      <c r="H65" s="1">
        <v>4</v>
      </c>
      <c r="I65" s="1">
        <v>2</v>
      </c>
      <c r="J65" s="1">
        <v>1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 t="s">
        <v>2</v>
      </c>
      <c r="R65" s="1">
        <v>0</v>
      </c>
    </row>
    <row r="66" spans="1:18" x14ac:dyDescent="0.35">
      <c r="A66" s="2">
        <f>_xlfn.XLOOKUP(B66,[1]DimPlayers!$B$2:$B$11,[1]DimPlayers!$A$2:$A$11)</f>
        <v>5</v>
      </c>
      <c r="B66" s="2" t="s">
        <v>40</v>
      </c>
      <c r="C66" s="2" t="s">
        <v>1</v>
      </c>
      <c r="D66" s="2" t="s">
        <v>0</v>
      </c>
      <c r="E66" s="2">
        <v>1</v>
      </c>
      <c r="F66" s="2">
        <v>1</v>
      </c>
      <c r="G66" s="2">
        <v>4</v>
      </c>
      <c r="H66" s="2">
        <v>4</v>
      </c>
      <c r="I66" s="2">
        <v>0</v>
      </c>
      <c r="J66" s="2">
        <v>1</v>
      </c>
      <c r="K66" s="2">
        <v>1</v>
      </c>
      <c r="L66" s="2">
        <v>0</v>
      </c>
      <c r="M66" s="2">
        <v>0</v>
      </c>
      <c r="N66" s="2">
        <v>0</v>
      </c>
      <c r="O66" s="2">
        <v>0</v>
      </c>
      <c r="P66" s="2">
        <v>2</v>
      </c>
      <c r="Q66" s="2"/>
      <c r="R66" s="2">
        <v>0</v>
      </c>
    </row>
    <row r="67" spans="1:18" x14ac:dyDescent="0.35">
      <c r="A67" s="1">
        <f>_xlfn.XLOOKUP(B67,[1]DimPlayers!$B$2:$B$11,[1]DimPlayers!$A$2:$A$11)</f>
        <v>6</v>
      </c>
      <c r="B67" s="1" t="s">
        <v>41</v>
      </c>
      <c r="C67" s="1" t="s">
        <v>1</v>
      </c>
      <c r="D67" s="1" t="s">
        <v>0</v>
      </c>
      <c r="E67" s="1">
        <v>1</v>
      </c>
      <c r="F67" s="1">
        <v>1</v>
      </c>
      <c r="G67" s="1">
        <v>1</v>
      </c>
      <c r="H67" s="1">
        <v>3</v>
      </c>
      <c r="I67" s="1">
        <v>2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1</v>
      </c>
      <c r="P67" s="1">
        <v>3</v>
      </c>
      <c r="Q67" s="1"/>
      <c r="R67" s="1">
        <v>0</v>
      </c>
    </row>
    <row r="68" spans="1:18" x14ac:dyDescent="0.35">
      <c r="A68" s="2">
        <f>_xlfn.XLOOKUP(B68,[1]DimPlayers!$B$2:$B$11,[1]DimPlayers!$A$2:$A$11)</f>
        <v>7</v>
      </c>
      <c r="B68" s="2" t="s">
        <v>42</v>
      </c>
      <c r="C68" s="2" t="s">
        <v>1</v>
      </c>
      <c r="D68" s="2" t="s">
        <v>0</v>
      </c>
      <c r="E68" s="2">
        <v>1</v>
      </c>
      <c r="F68" s="2">
        <v>0</v>
      </c>
      <c r="G68" s="2">
        <v>2</v>
      </c>
      <c r="H68" s="2">
        <v>4</v>
      </c>
      <c r="I68" s="2">
        <v>3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3</v>
      </c>
      <c r="Q68" s="2"/>
      <c r="R68" s="2">
        <v>0</v>
      </c>
    </row>
    <row r="69" spans="1:18" x14ac:dyDescent="0.35">
      <c r="A69" s="1">
        <f>_xlfn.XLOOKUP(B69,[1]DimPlayers!$B$2:$B$11,[1]DimPlayers!$A$2:$A$11)</f>
        <v>8</v>
      </c>
      <c r="B69" s="1" t="s">
        <v>43</v>
      </c>
      <c r="C69" s="1" t="s">
        <v>1</v>
      </c>
      <c r="D69" s="1" t="s">
        <v>0</v>
      </c>
      <c r="E69" s="1">
        <v>1</v>
      </c>
      <c r="F69" s="1">
        <v>0</v>
      </c>
      <c r="G69" s="1">
        <v>2</v>
      </c>
      <c r="H69" s="1">
        <v>2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1</v>
      </c>
      <c r="P69" s="1">
        <v>0</v>
      </c>
      <c r="Q69" s="1"/>
      <c r="R69" s="1">
        <v>0</v>
      </c>
    </row>
    <row r="70" spans="1:18" x14ac:dyDescent="0.35">
      <c r="A70" s="2">
        <f>_xlfn.XLOOKUP(B70,[1]DimPlayers!$B$2:$B$11,[1]DimPlayers!$A$2:$A$11)</f>
        <v>9</v>
      </c>
      <c r="B70" s="2" t="s">
        <v>44</v>
      </c>
      <c r="C70" s="2" t="s">
        <v>1</v>
      </c>
      <c r="D70" s="2" t="s">
        <v>0</v>
      </c>
      <c r="E70" s="2">
        <v>1</v>
      </c>
      <c r="F70" s="2">
        <v>0</v>
      </c>
      <c r="G70" s="2">
        <v>2</v>
      </c>
      <c r="H70" s="2">
        <v>2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1</v>
      </c>
      <c r="P70" s="2">
        <v>3</v>
      </c>
      <c r="Q70" s="2"/>
      <c r="R70" s="2">
        <v>0</v>
      </c>
    </row>
    <row r="71" spans="1:18" x14ac:dyDescent="0.35">
      <c r="A71" s="1">
        <f>_xlfn.XLOOKUP(B71,[1]DimPlayers!$B$2:$B$11,[1]DimPlayers!$A$2:$A$11)</f>
        <v>10</v>
      </c>
      <c r="B71" s="1" t="s">
        <v>45</v>
      </c>
      <c r="C71" s="1" t="s">
        <v>1</v>
      </c>
      <c r="D71" s="1" t="s">
        <v>0</v>
      </c>
      <c r="E71" s="1">
        <v>0</v>
      </c>
      <c r="F71" s="1">
        <v>0</v>
      </c>
      <c r="G71" s="1">
        <v>0</v>
      </c>
      <c r="H71" s="1">
        <v>0</v>
      </c>
      <c r="I71" s="1">
        <v>1</v>
      </c>
      <c r="J71" s="1">
        <v>0</v>
      </c>
      <c r="K71" s="1">
        <v>0</v>
      </c>
      <c r="L71" s="1">
        <v>10</v>
      </c>
      <c r="M71" s="1">
        <v>5</v>
      </c>
      <c r="N71" s="1">
        <v>0</v>
      </c>
      <c r="O71" s="1">
        <v>0</v>
      </c>
      <c r="P71" s="1">
        <v>0</v>
      </c>
      <c r="Q71" s="1"/>
      <c r="R71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Napoli</dc:creator>
  <cp:lastModifiedBy>Chris Napoli</cp:lastModifiedBy>
  <dcterms:created xsi:type="dcterms:W3CDTF">2026-03-01T21:49:54Z</dcterms:created>
  <dcterms:modified xsi:type="dcterms:W3CDTF">2026-03-08T18:24:47Z</dcterms:modified>
</cp:coreProperties>
</file>